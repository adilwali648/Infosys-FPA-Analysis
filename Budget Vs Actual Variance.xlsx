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65ed58afa601ead/Desktop/"/>
    </mc:Choice>
  </mc:AlternateContent>
  <xr:revisionPtr revIDLastSave="112" documentId="8_{FF098935-6B2B-4EA0-BD63-AB302C8FB88A}" xr6:coauthVersionLast="47" xr6:coauthVersionMax="47" xr10:uidLastSave="{A98F90C0-ABBF-4C18-B776-037E9E4E926D}"/>
  <bookViews>
    <workbookView xWindow="-110" yWindow="-110" windowWidth="19420" windowHeight="10300" tabRatio="500" firstSheet="1" activeTab="1" xr2:uid="{00000000-000D-0000-FFFF-FFFF00000000}"/>
  </bookViews>
  <sheets>
    <sheet name="Raw Data" sheetId="1" r:id="rId1"/>
    <sheet name="Budget Assumption" sheetId="2" r:id="rId2"/>
    <sheet name="Variance Analysis" sheetId="3" r:id="rId3"/>
    <sheet name="CFO Comment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E14" i="3"/>
  <c r="F13" i="2"/>
  <c r="F15" i="2"/>
  <c r="C17" i="1"/>
  <c r="F14" i="2"/>
  <c r="C14" i="2"/>
  <c r="E14" i="2"/>
  <c r="D14" i="2"/>
  <c r="G17" i="3"/>
  <c r="G10" i="3"/>
  <c r="G11" i="3"/>
  <c r="G12" i="3"/>
  <c r="G13" i="3"/>
  <c r="G9" i="3"/>
  <c r="G6" i="3" l="1"/>
  <c r="F9" i="3"/>
  <c r="E12" i="3"/>
  <c r="F10" i="3"/>
  <c r="F11" i="3"/>
  <c r="F12" i="3"/>
  <c r="F13" i="3"/>
  <c r="F17" i="3"/>
  <c r="F18" i="3"/>
  <c r="E6" i="3"/>
  <c r="E9" i="3"/>
  <c r="F8" i="1"/>
  <c r="D6" i="2" s="1"/>
  <c r="D22" i="3"/>
  <c r="H21" i="3"/>
  <c r="I21" i="3" s="1"/>
  <c r="I20" i="3"/>
  <c r="H20" i="3"/>
  <c r="H19" i="3"/>
  <c r="I19" i="3" s="1"/>
  <c r="D14" i="3"/>
  <c r="D17" i="3" s="1"/>
  <c r="H13" i="3"/>
  <c r="I13" i="3" s="1"/>
  <c r="H12" i="3"/>
  <c r="I12" i="3" s="1"/>
  <c r="H11" i="3"/>
  <c r="I11" i="3" s="1"/>
  <c r="H10" i="3"/>
  <c r="I10" i="3" s="1"/>
  <c r="H9" i="3"/>
  <c r="I9" i="3" s="1"/>
  <c r="H6" i="3"/>
  <c r="I6" i="3" s="1"/>
  <c r="D10" i="2"/>
  <c r="C10" i="2"/>
  <c r="F10" i="2" s="1"/>
  <c r="C13" i="3" s="1"/>
  <c r="D9" i="2"/>
  <c r="C9" i="2"/>
  <c r="F9" i="2" s="1"/>
  <c r="C12" i="3" s="1"/>
  <c r="C8" i="2"/>
  <c r="F8" i="2" s="1"/>
  <c r="C11" i="3" s="1"/>
  <c r="E7" i="2"/>
  <c r="C7" i="2"/>
  <c r="F7" i="2" s="1"/>
  <c r="C10" i="3" s="1"/>
  <c r="E6" i="2"/>
  <c r="C6" i="2"/>
  <c r="F6" i="2" s="1"/>
  <c r="F5" i="2"/>
  <c r="C6" i="3" s="1"/>
  <c r="C5" i="2"/>
  <c r="E21" i="1"/>
  <c r="D21" i="1"/>
  <c r="C21" i="1"/>
  <c r="F20" i="1"/>
  <c r="F19" i="1"/>
  <c r="F18" i="1"/>
  <c r="E16" i="1"/>
  <c r="E17" i="1" s="1"/>
  <c r="E13" i="1"/>
  <c r="D13" i="1"/>
  <c r="D16" i="1" s="1"/>
  <c r="D17" i="1" s="1"/>
  <c r="C13" i="1"/>
  <c r="C16" i="1" s="1"/>
  <c r="F12" i="1"/>
  <c r="F11" i="1"/>
  <c r="F10" i="1"/>
  <c r="D8" i="2" s="1"/>
  <c r="F9" i="1"/>
  <c r="D7" i="2" s="1"/>
  <c r="F5" i="1"/>
  <c r="D5" i="2" s="1"/>
  <c r="F6" i="3" l="1"/>
  <c r="F12" i="2"/>
  <c r="C9" i="3"/>
  <c r="E10" i="3"/>
  <c r="D18" i="3"/>
  <c r="E11" i="3"/>
  <c r="E13" i="3"/>
  <c r="C20" i="3" l="1"/>
  <c r="F20" i="3" s="1"/>
  <c r="C19" i="3"/>
  <c r="F19" i="3" s="1"/>
  <c r="C14" i="3"/>
  <c r="C17" i="3" s="1"/>
  <c r="C18" i="3" l="1"/>
  <c r="E17" i="3"/>
  <c r="E19" i="3"/>
  <c r="G19" i="3" s="1"/>
  <c r="E20" i="3"/>
  <c r="G20" i="3" s="1"/>
  <c r="F16" i="2"/>
  <c r="C21" i="3" s="1"/>
  <c r="F21" i="3" s="1"/>
  <c r="C22" i="3" l="1"/>
  <c r="F22" i="3" s="1"/>
  <c r="E21" i="3"/>
  <c r="G21" i="3" s="1"/>
  <c r="E18" i="3"/>
  <c r="G18" i="3" s="1"/>
  <c r="E22" i="3" l="1"/>
  <c r="G22" i="3" s="1"/>
</calcChain>
</file>

<file path=xl/sharedStrings.xml><?xml version="1.0" encoding="utf-8"?>
<sst xmlns="http://schemas.openxmlformats.org/spreadsheetml/2006/main" count="80" uniqueCount="54">
  <si>
    <t>INFOSYS LIMITED - HISTORICAL FINANCIALS (₹ CRORES)</t>
  </si>
  <si>
    <t xml:space="preserve">Line Item </t>
  </si>
  <si>
    <t xml:space="preserve">FY2022 Actual </t>
  </si>
  <si>
    <t xml:space="preserve">FY2023 Actual </t>
  </si>
  <si>
    <t xml:space="preserve">FY2024 Actual </t>
  </si>
  <si>
    <t>Avg CAGR %</t>
  </si>
  <si>
    <t>REVENUE</t>
  </si>
  <si>
    <t>#</t>
  </si>
  <si>
    <t>Revenue from Operations</t>
  </si>
  <si>
    <t>EXPENSES</t>
  </si>
  <si>
    <t>Employee Cost</t>
  </si>
  <si>
    <t xml:space="preserve">Selling and Admin </t>
  </si>
  <si>
    <t>Other Expenses</t>
  </si>
  <si>
    <t>Depreciation</t>
  </si>
  <si>
    <t>Interest Expenses</t>
  </si>
  <si>
    <t>Total Expenses</t>
  </si>
  <si>
    <t>PROFITABILITY</t>
  </si>
  <si>
    <t>EBIT</t>
  </si>
  <si>
    <t>EBIT Margin %</t>
  </si>
  <si>
    <t>Profit Before Tax</t>
  </si>
  <si>
    <t>Tax Expense</t>
  </si>
  <si>
    <t>Net Profit</t>
  </si>
  <si>
    <t>PAT Margin %</t>
  </si>
  <si>
    <t xml:space="preserve"> </t>
  </si>
  <si>
    <t>FY 2025 BUDGET ASSUMPTIONS - INFOSYS LIMITED</t>
  </si>
  <si>
    <t>Line Item</t>
  </si>
  <si>
    <t xml:space="preserve">FY 2024 Actual </t>
  </si>
  <si>
    <t>Historical CAGR %</t>
  </si>
  <si>
    <t>Assumption</t>
  </si>
  <si>
    <t>FY 2025 Budget</t>
  </si>
  <si>
    <t>Selling and Admin</t>
  </si>
  <si>
    <t>Effective Tax Rate</t>
  </si>
  <si>
    <t>Total Expenses Budget</t>
  </si>
  <si>
    <t>EBIT Budget</t>
  </si>
  <si>
    <t>PBT Budget</t>
  </si>
  <si>
    <t>Tax Expense Budget</t>
  </si>
  <si>
    <t>PAT Budget</t>
  </si>
  <si>
    <t>ACTUAL VS BUDGET VARIANCE ANALYSIS - INFOSYS FY 2025</t>
  </si>
  <si>
    <t>FY 2025 Actual</t>
  </si>
  <si>
    <t>Variance</t>
  </si>
  <si>
    <t>Variance %</t>
  </si>
  <si>
    <t>F/U</t>
  </si>
  <si>
    <t>FY 2024 Actual</t>
  </si>
  <si>
    <t>YoY Growth %</t>
  </si>
  <si>
    <t xml:space="preserve">REVENUE </t>
  </si>
  <si>
    <t>Interest Cost</t>
  </si>
  <si>
    <t>FP&amp;A MANAGEMENT COMMENTARY -  FY INFOSYS 2025</t>
  </si>
  <si>
    <t xml:space="preserve">EXPENSE PERFORMANCE </t>
  </si>
  <si>
    <t>PROFITABILITY PERFORMANCE</t>
  </si>
  <si>
    <t>REVENUE PERFORMANCE</t>
  </si>
  <si>
    <t>Revenue from Operations for FY 2025 came in at ₹1,62,990 Cr, marginally below the budget of ₹1,65,964 Cr by ₹2,974 Cr (-1.8%), though this still represents a healthy YoY growth of 6.1% over FY 2024 actuals of ₹1,53,670 Cr. The shortfall against budget is largely due to the aggressive 8% growth assumption in the plan, which did not fully account for the moderation in IT spending across key geographies. On a 3-year basis, revenue has grown at a CAGR of ~12.4%, reflecting sustained long-term business momentum.</t>
  </si>
  <si>
    <t xml:space="preserve">EBIT for FY 2025 was ₹64,625 Cr against a budget of ₹66,143 Cr, a shortfall of ₹1,518 Cr (-2.3%), with EBIT margin at 39.6% versus budgeted 39.9% — a compression of just 20 basis points. Profit Before Tax came in at ₹37,608 Cr against a revised budget of ₹39,344 Cr (-4.4%), with the budget now based on Infosys's own historical PBT CAGR of 9.3% for a more realistic comparison. </t>
  </si>
  <si>
    <t>Total expenses for FY 2025 were ₹98,365 Cr, coming in ₹1,456 Cr below the budget of ₹99,821 Cr — a favourable variance of 1.5% — reflecting strong cost discipline across all expense lines. Employee cost at ₹85,968 Cr was slightly below the budget of ₹86,768 Cr (-0.9%), a positive outcome given the historical 3-year CAGR of 13.6% on this line.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</si>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</sst>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0%;\(0%\)"/>
  </numFmts>
  <fonts count="18" x14ac:knownFonts="1">
    <font>
      <sz val="11"/>
      <color theme="1"/>
      <name val="Calibri"/>
      <family val="2"/>
      <charset val="1"/>
    </font>
    <font>
      <b/>
      <sz val="18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theme="8" tint="-0.249977111117893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1"/>
      <color theme="1"/>
      <name val="Calibri"/>
      <family val="2"/>
      <charset val="1"/>
    </font>
    <font>
      <b/>
      <sz val="14"/>
      <color theme="0"/>
      <name val="Calibri"/>
      <family val="2"/>
    </font>
    <font>
      <sz val="11"/>
      <color rgb="FF000000"/>
      <name val="Arial"/>
      <family val="2"/>
    </font>
    <font>
      <b/>
      <sz val="11"/>
      <color theme="0"/>
      <name val="Calibri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6795556505021"/>
        <bgColor rgb="FF00008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2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0" fontId="4" fillId="2" borderId="1" xfId="0" applyFont="1" applyFill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8" fillId="0" borderId="0" xfId="0" applyFont="1"/>
    <xf numFmtId="9" fontId="12" fillId="0" borderId="1" xfId="1" applyBorder="1"/>
    <xf numFmtId="0" fontId="9" fillId="0" borderId="1" xfId="0" applyFont="1" applyBorder="1"/>
    <xf numFmtId="0" fontId="3" fillId="0" borderId="0" xfId="0" applyFont="1" applyAlignment="1">
      <alignment horizontal="center"/>
    </xf>
    <xf numFmtId="9" fontId="0" fillId="4" borderId="1" xfId="0" applyNumberFormat="1" applyFill="1" applyBorder="1"/>
    <xf numFmtId="9" fontId="0" fillId="0" borderId="1" xfId="0" applyNumberFormat="1" applyBorder="1"/>
    <xf numFmtId="9" fontId="12" fillId="4" borderId="1" xfId="1" applyFill="1" applyBorder="1"/>
    <xf numFmtId="0" fontId="11" fillId="3" borderId="1" xfId="0" applyFont="1" applyFill="1" applyBorder="1" applyAlignment="1">
      <alignment horizontal="left" vertical="center"/>
    </xf>
    <xf numFmtId="0" fontId="0" fillId="2" borderId="1" xfId="0" applyFill="1" applyBorder="1"/>
    <xf numFmtId="9" fontId="12" fillId="2" borderId="1" xfId="1" applyFill="1" applyBorder="1"/>
    <xf numFmtId="0" fontId="13" fillId="5" borderId="0" xfId="0" applyFont="1" applyFill="1" applyAlignment="1">
      <alignment horizontal="center"/>
    </xf>
    <xf numFmtId="0" fontId="14" fillId="0" borderId="0" xfId="0" applyFont="1" applyAlignment="1">
      <alignment vertical="top" wrapText="1"/>
    </xf>
    <xf numFmtId="0" fontId="15" fillId="6" borderId="0" xfId="0" applyFont="1" applyFill="1"/>
    <xf numFmtId="0" fontId="16" fillId="6" borderId="0" xfId="0" applyFont="1" applyFill="1" applyAlignment="1">
      <alignment vertical="top" wrapText="1"/>
    </xf>
    <xf numFmtId="0" fontId="14" fillId="0" borderId="0" xfId="0" applyFont="1" applyAlignment="1">
      <alignment horizontal="left" vertical="top" wrapText="1"/>
    </xf>
    <xf numFmtId="3" fontId="0" fillId="0" borderId="1" xfId="0" applyNumberFormat="1" applyBorder="1"/>
    <xf numFmtId="3" fontId="4" fillId="2" borderId="1" xfId="0" applyNumberFormat="1" applyFont="1" applyFill="1" applyBorder="1"/>
    <xf numFmtId="3" fontId="3" fillId="0" borderId="1" xfId="0" applyNumberFormat="1" applyFont="1" applyBorder="1"/>
    <xf numFmtId="9" fontId="5" fillId="7" borderId="1" xfId="1" applyFont="1" applyFill="1" applyBorder="1"/>
    <xf numFmtId="164" fontId="5" fillId="7" borderId="1" xfId="1" applyNumberFormat="1" applyFont="1" applyFill="1" applyBorder="1"/>
    <xf numFmtId="0" fontId="5" fillId="8" borderId="1" xfId="0" applyFont="1" applyFill="1" applyBorder="1"/>
    <xf numFmtId="0" fontId="5" fillId="7" borderId="1" xfId="0" applyFont="1" applyFill="1" applyBorder="1"/>
    <xf numFmtId="3" fontId="4" fillId="3" borderId="1" xfId="0" applyNumberFormat="1" applyFont="1" applyFill="1" applyBorder="1"/>
    <xf numFmtId="3" fontId="0" fillId="2" borderId="1" xfId="0" applyNumberFormat="1" applyFill="1" applyBorder="1"/>
    <xf numFmtId="165" fontId="0" fillId="0" borderId="1" xfId="0" applyNumberFormat="1" applyBorder="1"/>
    <xf numFmtId="165" fontId="0" fillId="2" borderId="1" xfId="0" applyNumberFormat="1" applyFill="1" applyBorder="1"/>
    <xf numFmtId="165" fontId="4" fillId="2" borderId="1" xfId="0" applyNumberFormat="1" applyFont="1" applyFill="1" applyBorder="1"/>
    <xf numFmtId="165" fontId="12" fillId="0" borderId="1" xfId="1" applyNumberFormat="1" applyBorder="1"/>
    <xf numFmtId="166" fontId="12" fillId="0" borderId="1" xfId="1" applyNumberFormat="1" applyBorder="1"/>
    <xf numFmtId="166" fontId="12" fillId="2" borderId="1" xfId="1" applyNumberFormat="1" applyFill="1" applyBorder="1"/>
    <xf numFmtId="166" fontId="0" fillId="0" borderId="1" xfId="0" applyNumberFormat="1" applyBorder="1"/>
    <xf numFmtId="166" fontId="4" fillId="2" borderId="1" xfId="0" applyNumberFormat="1" applyFont="1" applyFill="1" applyBorder="1"/>
    <xf numFmtId="9" fontId="12" fillId="0" borderId="0" xfId="1"/>
    <xf numFmtId="0" fontId="17" fillId="9" borderId="0" xfId="0" applyFont="1" applyFill="1" applyAlignment="1">
      <alignment vertical="top" wrapText="1"/>
    </xf>
    <xf numFmtId="0" fontId="0" fillId="9" borderId="0" xfId="0" applyFill="1"/>
    <xf numFmtId="0" fontId="14" fillId="9" borderId="0" xfId="0" applyFont="1" applyFill="1" applyAlignment="1">
      <alignment horizontal="left" vertical="top" wrapText="1"/>
    </xf>
    <xf numFmtId="0" fontId="14" fillId="9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0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"/>
  <sheetViews>
    <sheetView showGridLines="0" zoomScaleNormal="100" workbookViewId="0">
      <selection activeCell="I13" sqref="I13"/>
    </sheetView>
  </sheetViews>
  <sheetFormatPr defaultColWidth="8.6328125" defaultRowHeight="14.5" x14ac:dyDescent="0.35"/>
  <cols>
    <col min="1" max="1" width="1.81640625" customWidth="1"/>
    <col min="2" max="2" width="27.26953125" customWidth="1"/>
    <col min="3" max="5" width="13" customWidth="1"/>
    <col min="6" max="6" width="10.81640625" customWidth="1"/>
    <col min="7" max="7" width="12.26953125" customWidth="1"/>
  </cols>
  <sheetData>
    <row r="2" spans="1:10" ht="23.25" customHeight="1" x14ac:dyDescent="0.55000000000000004">
      <c r="B2" s="49" t="s">
        <v>0</v>
      </c>
      <c r="C2" s="50"/>
      <c r="D2" s="50"/>
      <c r="E2" s="50"/>
      <c r="F2" s="50"/>
      <c r="G2" s="50"/>
      <c r="H2" s="50"/>
      <c r="I2" s="50"/>
    </row>
    <row r="3" spans="1:10" ht="19.5" customHeight="1" x14ac:dyDescent="0.3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/>
      <c r="H3" s="3"/>
      <c r="I3" s="3"/>
    </row>
    <row r="4" spans="1:10" ht="19.5" customHeight="1" x14ac:dyDescent="0.35">
      <c r="B4" s="4" t="s">
        <v>6</v>
      </c>
      <c r="C4" s="4"/>
      <c r="D4" s="4"/>
      <c r="E4" s="4"/>
      <c r="F4" s="4"/>
      <c r="G4" s="3"/>
      <c r="H4" s="3"/>
      <c r="I4" s="3"/>
    </row>
    <row r="5" spans="1:10" x14ac:dyDescent="0.35">
      <c r="A5" t="s">
        <v>7</v>
      </c>
      <c r="B5" s="5" t="s">
        <v>8</v>
      </c>
      <c r="C5" s="27">
        <v>121641</v>
      </c>
      <c r="D5" s="27">
        <v>146767</v>
      </c>
      <c r="E5" s="27">
        <v>153670</v>
      </c>
      <c r="F5" s="30">
        <f>IFERROR((E5/C5)^(1/2)-1,0)</f>
        <v>0.12396957337716952</v>
      </c>
    </row>
    <row r="6" spans="1:10" ht="5.25" customHeight="1" x14ac:dyDescent="0.35">
      <c r="B6" s="5"/>
      <c r="C6" s="27"/>
      <c r="D6" s="27"/>
      <c r="E6" s="27"/>
      <c r="F6" s="31"/>
    </row>
    <row r="7" spans="1:10" ht="19.5" customHeight="1" x14ac:dyDescent="0.35">
      <c r="A7" t="s">
        <v>7</v>
      </c>
      <c r="B7" s="4" t="s">
        <v>9</v>
      </c>
      <c r="C7" s="28"/>
      <c r="D7" s="28"/>
      <c r="E7" s="28"/>
      <c r="F7" s="32"/>
      <c r="H7" s="7"/>
      <c r="J7" s="8"/>
    </row>
    <row r="8" spans="1:10" x14ac:dyDescent="0.35">
      <c r="B8" s="5" t="s">
        <v>10</v>
      </c>
      <c r="C8" s="27">
        <v>63997</v>
      </c>
      <c r="D8" s="27">
        <v>78374</v>
      </c>
      <c r="E8" s="27">
        <v>82636</v>
      </c>
      <c r="F8" s="30">
        <f>IFERROR((E8/C8)^(1/2)-1,0)</f>
        <v>0.13633094970227644</v>
      </c>
    </row>
    <row r="9" spans="1:10" x14ac:dyDescent="0.35">
      <c r="B9" s="5" t="s">
        <v>11</v>
      </c>
      <c r="C9" s="27">
        <v>4305</v>
      </c>
      <c r="D9" s="27">
        <v>5300</v>
      </c>
      <c r="E9" s="27">
        <v>5705</v>
      </c>
      <c r="F9" s="30">
        <f>IFERROR((E9/C9)^(1/2)-1,0)</f>
        <v>0.15117472697784695</v>
      </c>
      <c r="H9" s="9"/>
    </row>
    <row r="10" spans="1:10" x14ac:dyDescent="0.35">
      <c r="B10" s="5" t="s">
        <v>12</v>
      </c>
      <c r="C10" s="27">
        <v>1026</v>
      </c>
      <c r="D10" s="27">
        <v>1457</v>
      </c>
      <c r="E10" s="27">
        <v>1510</v>
      </c>
      <c r="F10" s="30">
        <f>IFERROR((E10/C10)^(1/2)-1,0)</f>
        <v>0.2131508120541008</v>
      </c>
    </row>
    <row r="11" spans="1:10" x14ac:dyDescent="0.35">
      <c r="B11" s="5" t="s">
        <v>13</v>
      </c>
      <c r="C11" s="27">
        <v>3476</v>
      </c>
      <c r="D11" s="27">
        <v>4225</v>
      </c>
      <c r="E11" s="27">
        <v>4678</v>
      </c>
      <c r="F11" s="30">
        <f>IFERROR((E11/C11)^(1/2)-1,0)</f>
        <v>0.16008610449845606</v>
      </c>
    </row>
    <row r="12" spans="1:10" x14ac:dyDescent="0.35">
      <c r="B12" s="5" t="s">
        <v>14</v>
      </c>
      <c r="C12" s="27">
        <v>200</v>
      </c>
      <c r="D12" s="27">
        <v>284</v>
      </c>
      <c r="E12" s="27">
        <v>470</v>
      </c>
      <c r="F12" s="30">
        <f>IFERROR((E12/C12)^(1/2)-1,0)</f>
        <v>0.53297097167558927</v>
      </c>
      <c r="H12" s="10"/>
    </row>
    <row r="13" spans="1:10" x14ac:dyDescent="0.35">
      <c r="B13" s="5" t="s">
        <v>15</v>
      </c>
      <c r="C13" s="29">
        <f>SUM(C8:C12)</f>
        <v>73004</v>
      </c>
      <c r="D13" s="29">
        <f>SUM(D8:D12)</f>
        <v>89640</v>
      </c>
      <c r="E13" s="29">
        <f>SUM(E8:E12)</f>
        <v>94999</v>
      </c>
      <c r="F13" s="33"/>
    </row>
    <row r="14" spans="1:10" ht="9.75" customHeight="1" x14ac:dyDescent="0.35">
      <c r="B14" s="5"/>
      <c r="C14" s="29"/>
      <c r="D14" s="29"/>
      <c r="E14" s="29"/>
      <c r="F14" s="33"/>
    </row>
    <row r="15" spans="1:10" ht="19.5" customHeight="1" x14ac:dyDescent="0.35">
      <c r="B15" s="4" t="s">
        <v>16</v>
      </c>
      <c r="C15" s="28"/>
      <c r="D15" s="28"/>
      <c r="E15" s="28"/>
      <c r="F15" s="32"/>
      <c r="H15" s="12"/>
    </row>
    <row r="16" spans="1:10" x14ac:dyDescent="0.35">
      <c r="B16" s="5" t="s">
        <v>17</v>
      </c>
      <c r="C16" s="27">
        <f>C5-C13</f>
        <v>48637</v>
      </c>
      <c r="D16" s="27">
        <f>D5-D13</f>
        <v>57127</v>
      </c>
      <c r="E16" s="27">
        <f>E5-E13</f>
        <v>58671</v>
      </c>
      <c r="F16" s="33"/>
    </row>
    <row r="17" spans="2:6" x14ac:dyDescent="0.35">
      <c r="B17" s="5" t="s">
        <v>18</v>
      </c>
      <c r="C17" s="44">
        <f>IFERROR(C16/C5,0)</f>
        <v>0.39984051430027706</v>
      </c>
      <c r="D17" s="44">
        <f>IFERROR(D16/D5,0)</f>
        <v>0.38923599991823776</v>
      </c>
      <c r="E17" s="44">
        <f>IFERROR(E16/E5,0)</f>
        <v>0.38179865946508751</v>
      </c>
      <c r="F17" s="33"/>
    </row>
    <row r="18" spans="2:6" x14ac:dyDescent="0.35">
      <c r="B18" s="5" t="s">
        <v>19</v>
      </c>
      <c r="C18" s="27">
        <v>30110</v>
      </c>
      <c r="D18" s="27">
        <v>33322</v>
      </c>
      <c r="E18" s="27">
        <v>35988</v>
      </c>
      <c r="F18" s="30">
        <f>IFERROR((E18/C18)^(1/2)-1,0)</f>
        <v>9.3260049440399229E-2</v>
      </c>
    </row>
    <row r="19" spans="2:6" x14ac:dyDescent="0.35">
      <c r="B19" s="5" t="s">
        <v>20</v>
      </c>
      <c r="C19" s="27">
        <v>7964</v>
      </c>
      <c r="D19" s="27">
        <v>9214</v>
      </c>
      <c r="E19" s="27">
        <v>9740</v>
      </c>
      <c r="F19" s="30">
        <f>IFERROR((E19/C19)^(1/2)-1,0)</f>
        <v>0.10589489365906535</v>
      </c>
    </row>
    <row r="20" spans="2:6" x14ac:dyDescent="0.35">
      <c r="B20" s="5" t="s">
        <v>21</v>
      </c>
      <c r="C20" s="27">
        <v>22110</v>
      </c>
      <c r="D20" s="27">
        <v>24095</v>
      </c>
      <c r="E20" s="27">
        <v>26233</v>
      </c>
      <c r="F20" s="30">
        <f>IFERROR((E20/C20)^(1/2)-1,0)</f>
        <v>8.9255115834775411E-2</v>
      </c>
    </row>
    <row r="21" spans="2:6" x14ac:dyDescent="0.35">
      <c r="B21" s="5" t="s">
        <v>22</v>
      </c>
      <c r="C21" s="13">
        <f>IFERROR(C20/C5,0)</f>
        <v>0.18176437221002786</v>
      </c>
      <c r="D21" s="13">
        <f>IFERROR(D20/D5,0)</f>
        <v>0.16417178248516356</v>
      </c>
      <c r="E21" s="13">
        <f>IFERROR(E20/E5,0)</f>
        <v>0.17070996290752913</v>
      </c>
      <c r="F21" s="14"/>
    </row>
  </sheetData>
  <mergeCells count="1">
    <mergeCell ref="B2:I2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tabSelected="1" zoomScaleNormal="100" workbookViewId="0">
      <selection activeCell="C20" sqref="C20"/>
    </sheetView>
  </sheetViews>
  <sheetFormatPr defaultColWidth="8.6328125" defaultRowHeight="14.5" x14ac:dyDescent="0.35"/>
  <cols>
    <col min="1" max="1" width="1.81640625" customWidth="1"/>
    <col min="2" max="2" width="22.54296875" customWidth="1"/>
    <col min="3" max="3" width="16.6328125" customWidth="1"/>
    <col min="4" max="4" width="18.90625" customWidth="1"/>
    <col min="5" max="5" width="16.6328125" customWidth="1"/>
    <col min="6" max="6" width="15.6328125" customWidth="1"/>
  </cols>
  <sheetData>
    <row r="1" spans="1:6" x14ac:dyDescent="0.35">
      <c r="A1" t="s">
        <v>23</v>
      </c>
    </row>
    <row r="2" spans="1:6" ht="20.25" customHeight="1" x14ac:dyDescent="0.45">
      <c r="B2" s="51" t="s">
        <v>24</v>
      </c>
      <c r="C2" s="50"/>
      <c r="D2" s="50"/>
      <c r="E2" s="50"/>
      <c r="F2" s="50"/>
    </row>
    <row r="3" spans="1:6" ht="7.5" customHeight="1" x14ac:dyDescent="0.35">
      <c r="B3" s="15"/>
      <c r="C3" s="15"/>
      <c r="D3" s="15"/>
      <c r="E3" s="15"/>
      <c r="F3" s="15"/>
    </row>
    <row r="4" spans="1:6" x14ac:dyDescent="0.35"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</row>
    <row r="5" spans="1:6" x14ac:dyDescent="0.35">
      <c r="B5" s="5" t="s">
        <v>8</v>
      </c>
      <c r="C5" s="27">
        <f>'Raw Data'!E5</f>
        <v>153670</v>
      </c>
      <c r="D5" s="13">
        <f>'Raw Data'!F5</f>
        <v>0.12396957337716952</v>
      </c>
      <c r="E5" s="16">
        <v>0.08</v>
      </c>
      <c r="F5" s="27">
        <f t="shared" ref="F5:F10" si="0">C5*(1+E5)</f>
        <v>165963.6</v>
      </c>
    </row>
    <row r="6" spans="1:6" x14ac:dyDescent="0.35">
      <c r="B6" s="5" t="s">
        <v>10</v>
      </c>
      <c r="C6" s="27">
        <f>'Raw Data'!E8</f>
        <v>82636</v>
      </c>
      <c r="D6" s="17">
        <f>'Raw Data'!F8</f>
        <v>0.13633094970227644</v>
      </c>
      <c r="E6" s="18">
        <f>5%</f>
        <v>0.05</v>
      </c>
      <c r="F6" s="27">
        <f t="shared" si="0"/>
        <v>86767.8</v>
      </c>
    </row>
    <row r="7" spans="1:6" x14ac:dyDescent="0.35">
      <c r="B7" s="5" t="s">
        <v>30</v>
      </c>
      <c r="C7" s="27">
        <f>'Raw Data'!E9</f>
        <v>5705</v>
      </c>
      <c r="D7" s="17">
        <f>'Raw Data'!F9</f>
        <v>0.15117472697784695</v>
      </c>
      <c r="E7" s="18">
        <f>6%</f>
        <v>0.06</v>
      </c>
      <c r="F7" s="27">
        <f t="shared" si="0"/>
        <v>6047.3</v>
      </c>
    </row>
    <row r="8" spans="1:6" x14ac:dyDescent="0.35">
      <c r="B8" s="5" t="s">
        <v>12</v>
      </c>
      <c r="C8" s="27">
        <f>'Raw Data'!E10</f>
        <v>1510</v>
      </c>
      <c r="D8" s="17">
        <f>'Raw Data'!F10</f>
        <v>0.2131508120541008</v>
      </c>
      <c r="E8" s="16">
        <v>0.06</v>
      </c>
      <c r="F8" s="27">
        <f t="shared" si="0"/>
        <v>1600.6000000000001</v>
      </c>
    </row>
    <row r="9" spans="1:6" x14ac:dyDescent="0.35">
      <c r="B9" s="5" t="s">
        <v>13</v>
      </c>
      <c r="C9" s="27">
        <f>'Raw Data'!E11</f>
        <v>4678</v>
      </c>
      <c r="D9" s="17">
        <f>'Raw Data'!F11</f>
        <v>0.16008610449845606</v>
      </c>
      <c r="E9" s="16">
        <v>0.05</v>
      </c>
      <c r="F9" s="27">
        <f t="shared" si="0"/>
        <v>4911.9000000000005</v>
      </c>
    </row>
    <row r="10" spans="1:6" x14ac:dyDescent="0.35">
      <c r="B10" s="5" t="s">
        <v>14</v>
      </c>
      <c r="C10" s="27">
        <f>'Raw Data'!E12</f>
        <v>470</v>
      </c>
      <c r="D10" s="17">
        <f>'Raw Data'!F12</f>
        <v>0.53297097167558927</v>
      </c>
      <c r="E10" s="16">
        <v>0.05</v>
      </c>
      <c r="F10" s="27">
        <f t="shared" si="0"/>
        <v>493.5</v>
      </c>
    </row>
    <row r="11" spans="1:6" x14ac:dyDescent="0.35">
      <c r="B11" s="5" t="s">
        <v>31</v>
      </c>
      <c r="C11" s="13">
        <v>0.25</v>
      </c>
      <c r="D11" s="13">
        <v>0.25</v>
      </c>
      <c r="E11" s="18">
        <v>0.25</v>
      </c>
      <c r="F11" s="13">
        <v>0.25</v>
      </c>
    </row>
    <row r="12" spans="1:6" x14ac:dyDescent="0.35">
      <c r="B12" s="19" t="s">
        <v>32</v>
      </c>
      <c r="C12" s="5"/>
      <c r="D12" s="5"/>
      <c r="E12" s="5"/>
      <c r="F12" s="34">
        <f>SUM(F6:F10)</f>
        <v>99821.1</v>
      </c>
    </row>
    <row r="13" spans="1:6" x14ac:dyDescent="0.35">
      <c r="B13" s="19" t="s">
        <v>33</v>
      </c>
      <c r="C13" s="5"/>
      <c r="D13" s="5"/>
      <c r="E13" s="5"/>
      <c r="F13" s="34">
        <f>F5-F12</f>
        <v>66142.5</v>
      </c>
    </row>
    <row r="14" spans="1:6" x14ac:dyDescent="0.35">
      <c r="B14" s="19" t="s">
        <v>34</v>
      </c>
      <c r="C14" s="27">
        <f>'Raw Data'!E18</f>
        <v>35988</v>
      </c>
      <c r="D14" s="17">
        <f>'Raw Data'!F18</f>
        <v>9.3260049440399229E-2</v>
      </c>
      <c r="E14" s="17">
        <f>D14</f>
        <v>9.3260049440399229E-2</v>
      </c>
      <c r="F14" s="34">
        <f>C14*(1+E14)</f>
        <v>39344.242659261086</v>
      </c>
    </row>
    <row r="15" spans="1:6" x14ac:dyDescent="0.35">
      <c r="B15" s="19" t="s">
        <v>35</v>
      </c>
      <c r="C15" s="5"/>
      <c r="D15" s="5"/>
      <c r="E15" s="5"/>
      <c r="F15" s="34">
        <f>F14*F11</f>
        <v>9836.0606648152716</v>
      </c>
    </row>
    <row r="16" spans="1:6" x14ac:dyDescent="0.35">
      <c r="B16" s="19" t="s">
        <v>36</v>
      </c>
      <c r="C16" s="5"/>
      <c r="D16" s="5"/>
      <c r="E16" s="5"/>
      <c r="F16" s="34">
        <f>F14-F15</f>
        <v>29508.181994445815</v>
      </c>
    </row>
  </sheetData>
  <mergeCells count="1">
    <mergeCell ref="B2:F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22"/>
  <sheetViews>
    <sheetView showGridLines="0" zoomScaleNormal="100" workbookViewId="0">
      <selection activeCell="F15" sqref="F15"/>
    </sheetView>
  </sheetViews>
  <sheetFormatPr defaultColWidth="8.6328125" defaultRowHeight="14.5" x14ac:dyDescent="0.35"/>
  <cols>
    <col min="1" max="1" width="1.81640625" customWidth="1"/>
    <col min="2" max="2" width="22.54296875" customWidth="1"/>
    <col min="3" max="3" width="16.7265625" customWidth="1"/>
    <col min="4" max="4" width="15.6328125" customWidth="1"/>
    <col min="5" max="5" width="13.453125" customWidth="1"/>
    <col min="6" max="6" width="14.54296875" customWidth="1"/>
    <col min="7" max="7" width="10.81640625" customWidth="1"/>
    <col min="8" max="8" width="13" bestFit="1" customWidth="1"/>
    <col min="9" max="9" width="12.6328125" bestFit="1" customWidth="1"/>
  </cols>
  <sheetData>
    <row r="2" spans="1:12" ht="18.5" customHeight="1" x14ac:dyDescent="0.45">
      <c r="B2" s="51" t="s">
        <v>37</v>
      </c>
      <c r="C2" s="50"/>
      <c r="D2" s="50"/>
      <c r="E2" s="50"/>
      <c r="F2" s="50"/>
      <c r="G2" s="50"/>
      <c r="H2" s="50"/>
      <c r="I2" s="50"/>
    </row>
    <row r="4" spans="1:12" x14ac:dyDescent="0.35">
      <c r="B4" s="1" t="s">
        <v>25</v>
      </c>
      <c r="C4" s="1" t="s">
        <v>29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</row>
    <row r="5" spans="1:12" x14ac:dyDescent="0.35">
      <c r="A5" t="s">
        <v>7</v>
      </c>
      <c r="B5" s="4" t="s">
        <v>44</v>
      </c>
      <c r="C5" s="20"/>
      <c r="D5" s="20"/>
      <c r="E5" s="20"/>
      <c r="F5" s="20"/>
      <c r="G5" s="20"/>
      <c r="H5" s="20"/>
      <c r="I5" s="20"/>
    </row>
    <row r="6" spans="1:12" x14ac:dyDescent="0.35">
      <c r="B6" s="5" t="s">
        <v>8</v>
      </c>
      <c r="C6" s="27">
        <f>'Budget Assumption'!F5</f>
        <v>165963.6</v>
      </c>
      <c r="D6" s="27">
        <v>162990</v>
      </c>
      <c r="E6" s="36">
        <f>D6-C6</f>
        <v>-2973.6000000000058</v>
      </c>
      <c r="F6" s="40">
        <f>IFERROR((D6-C6)/ABS(C6),0)</f>
        <v>-1.7917181839873356E-2</v>
      </c>
      <c r="G6" s="5" t="str">
        <f>IF(E6&gt;0,"F","U")</f>
        <v>U</v>
      </c>
      <c r="H6" s="5">
        <f>'Raw Data'!E5</f>
        <v>153670</v>
      </c>
      <c r="I6" s="13">
        <f>IFERROR((D6-H6)/ABS(H6),0)</f>
        <v>6.064944361293681E-2</v>
      </c>
    </row>
    <row r="7" spans="1:12" ht="6" customHeight="1" x14ac:dyDescent="0.35">
      <c r="B7" s="11"/>
      <c r="C7" s="27"/>
      <c r="D7" s="27"/>
      <c r="E7" s="36"/>
      <c r="F7" s="40"/>
      <c r="G7" s="5"/>
      <c r="H7" s="5"/>
      <c r="I7" s="5"/>
    </row>
    <row r="8" spans="1:12" x14ac:dyDescent="0.35">
      <c r="A8" t="s">
        <v>7</v>
      </c>
      <c r="B8" s="4" t="s">
        <v>9</v>
      </c>
      <c r="C8" s="35"/>
      <c r="D8" s="35"/>
      <c r="E8" s="37"/>
      <c r="F8" s="41"/>
      <c r="G8" s="21"/>
      <c r="H8" s="21"/>
      <c r="I8" s="21"/>
    </row>
    <row r="9" spans="1:12" x14ac:dyDescent="0.35">
      <c r="B9" s="5" t="s">
        <v>10</v>
      </c>
      <c r="C9" s="27">
        <f>'Budget Assumption'!F6</f>
        <v>86767.8</v>
      </c>
      <c r="D9" s="27">
        <v>85968</v>
      </c>
      <c r="E9" s="36">
        <f>D9-C9</f>
        <v>-799.80000000000291</v>
      </c>
      <c r="F9" s="40">
        <f>IFERROR((D9-C9)/ABS(C9),0)</f>
        <v>-9.2177051855642633E-3</v>
      </c>
      <c r="G9" s="5" t="str">
        <f>IF(E9&lt;0,"F","U")</f>
        <v>F</v>
      </c>
      <c r="H9" s="27">
        <f>'Raw Data'!E8</f>
        <v>82636</v>
      </c>
      <c r="I9" s="13">
        <f>IFERROR((D9-H9)/ABS(H9),0)</f>
        <v>4.0321409555157561E-2</v>
      </c>
    </row>
    <row r="10" spans="1:12" x14ac:dyDescent="0.35">
      <c r="B10" s="5" t="s">
        <v>30</v>
      </c>
      <c r="C10" s="27">
        <f>'Budget Assumption'!F7</f>
        <v>6047.3</v>
      </c>
      <c r="D10" s="27">
        <v>6039</v>
      </c>
      <c r="E10" s="36">
        <f>D10-C10</f>
        <v>-8.3000000000001819</v>
      </c>
      <c r="F10" s="40">
        <f>IFERROR((D10-C10)/ABS(C10),0)</f>
        <v>-1.372513353066688E-3</v>
      </c>
      <c r="G10" s="5" t="str">
        <f t="shared" ref="G10:G13" si="0">IF(E10&lt;0,"F","U")</f>
        <v>F</v>
      </c>
      <c r="H10" s="27">
        <f>'Raw Data'!E9</f>
        <v>5705</v>
      </c>
      <c r="I10" s="13">
        <f>IFERROR((D10-H10)/ABS(H10),0)</f>
        <v>5.8545135845749344E-2</v>
      </c>
    </row>
    <row r="11" spans="1:12" x14ac:dyDescent="0.35">
      <c r="B11" s="5" t="s">
        <v>12</v>
      </c>
      <c r="C11" s="27">
        <f>'Budget Assumption'!F8</f>
        <v>1600.6000000000001</v>
      </c>
      <c r="D11" s="27">
        <v>1130</v>
      </c>
      <c r="E11" s="36">
        <f>D11-C11</f>
        <v>-470.60000000000014</v>
      </c>
      <c r="F11" s="40">
        <f>IFERROR((D11-C11)/ABS(C11),0)</f>
        <v>-0.29401474447082349</v>
      </c>
      <c r="G11" s="5" t="str">
        <f t="shared" si="0"/>
        <v>F</v>
      </c>
      <c r="H11" s="27">
        <f>'Raw Data'!E10</f>
        <v>1510</v>
      </c>
      <c r="I11" s="40">
        <f>IFERROR((D11-H11)/ABS(H11),0)</f>
        <v>-0.25165562913907286</v>
      </c>
    </row>
    <row r="12" spans="1:12" x14ac:dyDescent="0.35">
      <c r="B12" s="5" t="s">
        <v>13</v>
      </c>
      <c r="C12" s="27">
        <f>'Budget Assumption'!F9</f>
        <v>4911.9000000000005</v>
      </c>
      <c r="D12" s="27">
        <v>4812</v>
      </c>
      <c r="E12" s="36">
        <f>D12-C12</f>
        <v>-99.900000000000546</v>
      </c>
      <c r="F12" s="40">
        <f>IFERROR((D12-C12)/ABS(C12),0)</f>
        <v>-2.0338361937335965E-2</v>
      </c>
      <c r="G12" s="5" t="str">
        <f t="shared" si="0"/>
        <v>F</v>
      </c>
      <c r="H12" s="27">
        <f>'Raw Data'!E11</f>
        <v>4678</v>
      </c>
      <c r="I12" s="13">
        <f>IFERROR((D12-H12)/ABS(H12),0)</f>
        <v>2.8644719965797351E-2</v>
      </c>
    </row>
    <row r="13" spans="1:12" x14ac:dyDescent="0.35">
      <c r="B13" s="5" t="s">
        <v>45</v>
      </c>
      <c r="C13" s="27">
        <f>'Budget Assumption'!F10</f>
        <v>493.5</v>
      </c>
      <c r="D13" s="27">
        <v>416</v>
      </c>
      <c r="E13" s="36">
        <f>D13-C13</f>
        <v>-77.5</v>
      </c>
      <c r="F13" s="40">
        <f>IFERROR((D13-C13)/ABS(C13),0)</f>
        <v>-0.15704154002026344</v>
      </c>
      <c r="G13" s="5" t="str">
        <f t="shared" si="0"/>
        <v>F</v>
      </c>
      <c r="H13" s="27">
        <f>'Raw Data'!E12</f>
        <v>470</v>
      </c>
      <c r="I13" s="40">
        <f>IFERROR((D13-H13)/ABS(H13),0)</f>
        <v>-0.1148936170212766</v>
      </c>
      <c r="K13" t="s">
        <v>53</v>
      </c>
    </row>
    <row r="14" spans="1:12" x14ac:dyDescent="0.35">
      <c r="B14" s="5" t="s">
        <v>15</v>
      </c>
      <c r="C14" s="27">
        <f>SUM(C9:C13)</f>
        <v>99821.1</v>
      </c>
      <c r="D14" s="27">
        <f>SUM(D9:D13)</f>
        <v>98365</v>
      </c>
      <c r="E14" s="36">
        <f>D14-C14</f>
        <v>-1456.1000000000058</v>
      </c>
      <c r="F14" s="40">
        <f>(D14-C14)/C14</f>
        <v>-1.4587096315308143E-2</v>
      </c>
      <c r="G14" s="5"/>
      <c r="H14" s="27"/>
      <c r="I14" s="5"/>
    </row>
    <row r="15" spans="1:12" ht="7.5" customHeight="1" x14ac:dyDescent="0.35">
      <c r="B15" s="5"/>
      <c r="C15" s="27"/>
      <c r="D15" s="27"/>
      <c r="E15" s="36"/>
      <c r="F15" s="42"/>
      <c r="G15" s="5"/>
      <c r="H15" s="27"/>
      <c r="I15" s="5"/>
    </row>
    <row r="16" spans="1:12" x14ac:dyDescent="0.35">
      <c r="A16" t="s">
        <v>7</v>
      </c>
      <c r="B16" s="4" t="s">
        <v>16</v>
      </c>
      <c r="C16" s="28"/>
      <c r="D16" s="28"/>
      <c r="E16" s="38"/>
      <c r="F16" s="43"/>
      <c r="G16" s="6"/>
      <c r="H16" s="6"/>
      <c r="I16" s="6"/>
      <c r="L16" t="s">
        <v>53</v>
      </c>
    </row>
    <row r="17" spans="2:9" x14ac:dyDescent="0.35">
      <c r="B17" s="5" t="s">
        <v>17</v>
      </c>
      <c r="C17" s="27">
        <f>C6-C14</f>
        <v>66142.5</v>
      </c>
      <c r="D17" s="27">
        <f>D6-D14</f>
        <v>64625</v>
      </c>
      <c r="E17" s="36">
        <f t="shared" ref="E17:E22" si="1">D17-C17</f>
        <v>-1517.5</v>
      </c>
      <c r="F17" s="40">
        <f t="shared" ref="F17:F22" si="2">IFERROR((D17-C17)/ABS(C17),0)</f>
        <v>-2.2942888460520845E-2</v>
      </c>
      <c r="G17" s="5" t="str">
        <f>IF(E17&gt;0,"F","U")</f>
        <v>U</v>
      </c>
      <c r="H17" s="27"/>
      <c r="I17" s="5"/>
    </row>
    <row r="18" spans="2:9" x14ac:dyDescent="0.35">
      <c r="B18" s="5" t="s">
        <v>18</v>
      </c>
      <c r="C18" s="13">
        <f>IFERROR(C17/C6,0)</f>
        <v>0.39853618504298532</v>
      </c>
      <c r="D18" s="13">
        <f>IFERROR(D17/D6,0)</f>
        <v>0.39649671759003619</v>
      </c>
      <c r="E18" s="39">
        <f t="shared" si="1"/>
        <v>-2.0394674529491397E-3</v>
      </c>
      <c r="F18" s="40">
        <f t="shared" si="2"/>
        <v>-5.1173959341462728E-3</v>
      </c>
      <c r="G18" s="5" t="str">
        <f t="shared" ref="G18:G22" si="3">IF(E18&gt;0,"F","U")</f>
        <v>U</v>
      </c>
      <c r="H18" s="27"/>
      <c r="I18" s="5"/>
    </row>
    <row r="19" spans="2:9" x14ac:dyDescent="0.35">
      <c r="B19" s="5" t="s">
        <v>19</v>
      </c>
      <c r="C19" s="27">
        <f>'Budget Assumption'!F14</f>
        <v>39344.242659261086</v>
      </c>
      <c r="D19" s="27">
        <v>37608</v>
      </c>
      <c r="E19" s="36">
        <f t="shared" si="1"/>
        <v>-1736.2426592610864</v>
      </c>
      <c r="F19" s="40">
        <f t="shared" si="2"/>
        <v>-4.41295229469209E-2</v>
      </c>
      <c r="G19" s="5" t="str">
        <f t="shared" si="3"/>
        <v>U</v>
      </c>
      <c r="H19" s="27">
        <f>'Raw Data'!E18</f>
        <v>35988</v>
      </c>
      <c r="I19" s="13">
        <f>IFERROR((D19-H19)/ABS(H19),0)</f>
        <v>4.5015005001667226E-2</v>
      </c>
    </row>
    <row r="20" spans="2:9" x14ac:dyDescent="0.35">
      <c r="B20" s="5" t="s">
        <v>20</v>
      </c>
      <c r="C20" s="27">
        <f>'Budget Assumption'!F15</f>
        <v>9836.0606648152716</v>
      </c>
      <c r="D20" s="27">
        <v>10858</v>
      </c>
      <c r="E20" s="36">
        <f t="shared" si="1"/>
        <v>1021.9393351847284</v>
      </c>
      <c r="F20" s="40">
        <f t="shared" si="2"/>
        <v>0.10389721759650423</v>
      </c>
      <c r="G20" s="5" t="str">
        <f t="shared" si="3"/>
        <v>F</v>
      </c>
      <c r="H20" s="27">
        <f>'Raw Data'!E19</f>
        <v>9740</v>
      </c>
      <c r="I20" s="13">
        <f>IFERROR((D20-H20)/ABS(H20),0)</f>
        <v>0.11478439425051334</v>
      </c>
    </row>
    <row r="21" spans="2:9" x14ac:dyDescent="0.35">
      <c r="B21" s="5" t="s">
        <v>21</v>
      </c>
      <c r="C21" s="27">
        <f>'Budget Assumption'!F16</f>
        <v>29508.181994445815</v>
      </c>
      <c r="D21" s="27">
        <v>26713</v>
      </c>
      <c r="E21" s="36">
        <f t="shared" si="1"/>
        <v>-2795.1819944458148</v>
      </c>
      <c r="F21" s="40">
        <f t="shared" si="2"/>
        <v>-9.4725659309405727E-2</v>
      </c>
      <c r="G21" s="5" t="str">
        <f t="shared" si="3"/>
        <v>U</v>
      </c>
      <c r="H21" s="27">
        <f>'Raw Data'!E20</f>
        <v>26233</v>
      </c>
      <c r="I21" s="13">
        <f>IFERROR((D21-H21)/ABS(H21),0)</f>
        <v>1.8297564136774292E-2</v>
      </c>
    </row>
    <row r="22" spans="2:9" x14ac:dyDescent="0.35">
      <c r="B22" s="5" t="s">
        <v>22</v>
      </c>
      <c r="C22" s="13">
        <f>IFERROR(C21/C6,0)</f>
        <v>0.17779911977352753</v>
      </c>
      <c r="D22" s="13">
        <f>IFERROR(D21/D6,0)</f>
        <v>0.16389349039818393</v>
      </c>
      <c r="E22" s="39">
        <f t="shared" si="1"/>
        <v>-1.3905629375343592E-2</v>
      </c>
      <c r="F22" s="40">
        <f t="shared" si="2"/>
        <v>-7.8209776252300647E-2</v>
      </c>
      <c r="G22" s="5" t="str">
        <f t="shared" si="3"/>
        <v>U</v>
      </c>
      <c r="H22" s="5"/>
      <c r="I22" s="5"/>
    </row>
  </sheetData>
  <mergeCells count="1">
    <mergeCell ref="B2:I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20"/>
  <sheetViews>
    <sheetView showGridLines="0" workbookViewId="0">
      <selection activeCell="F8" sqref="F8"/>
    </sheetView>
  </sheetViews>
  <sheetFormatPr defaultRowHeight="14.5" x14ac:dyDescent="0.35"/>
  <cols>
    <col min="1" max="1" width="1.81640625" customWidth="1"/>
    <col min="2" max="2" width="75.6328125" customWidth="1"/>
  </cols>
  <sheetData>
    <row r="2" spans="2:2" ht="19.5" customHeight="1" x14ac:dyDescent="0.45">
      <c r="B2" s="22" t="s">
        <v>46</v>
      </c>
    </row>
    <row r="4" spans="2:2" x14ac:dyDescent="0.35">
      <c r="B4" s="24" t="s">
        <v>49</v>
      </c>
    </row>
    <row r="5" spans="2:2" ht="98" x14ac:dyDescent="0.35">
      <c r="B5" s="48" t="s">
        <v>50</v>
      </c>
    </row>
    <row r="6" spans="2:2" ht="9" customHeight="1" x14ac:dyDescent="0.35">
      <c r="B6" s="45"/>
    </row>
    <row r="7" spans="2:2" x14ac:dyDescent="0.35">
      <c r="B7" s="24" t="s">
        <v>47</v>
      </c>
    </row>
    <row r="8" spans="2:2" ht="70" x14ac:dyDescent="0.35">
      <c r="B8" s="48" t="s">
        <v>52</v>
      </c>
    </row>
    <row r="9" spans="2:2" ht="9" customHeight="1" x14ac:dyDescent="0.35">
      <c r="B9" s="46"/>
    </row>
    <row r="10" spans="2:2" x14ac:dyDescent="0.35">
      <c r="B10" s="25" t="s">
        <v>48</v>
      </c>
    </row>
    <row r="11" spans="2:2" ht="70" x14ac:dyDescent="0.35">
      <c r="B11" s="47" t="s">
        <v>51</v>
      </c>
    </row>
    <row r="12" spans="2:2" x14ac:dyDescent="0.35">
      <c r="B12" s="26"/>
    </row>
    <row r="16" spans="2:2" ht="6.5" customHeight="1" x14ac:dyDescent="0.35"/>
    <row r="18" spans="2:2" x14ac:dyDescent="0.35">
      <c r="B18" s="23"/>
    </row>
    <row r="19" spans="2:2" x14ac:dyDescent="0.35">
      <c r="B19" s="23"/>
    </row>
    <row r="20" spans="2:2" x14ac:dyDescent="0.35">
      <c r="B2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Budget Assumption</vt:lpstr>
      <vt:lpstr>Variance Analysis</vt:lpstr>
      <vt:lpstr>CFO 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adilwali7435@outlook.com</dc:creator>
  <cp:lastModifiedBy>adilwali7435@outlook.com</cp:lastModifiedBy>
  <cp:revision>0</cp:revision>
  <dcterms:created xsi:type="dcterms:W3CDTF">2026-03-08T17:14:42Z</dcterms:created>
  <dcterms:modified xsi:type="dcterms:W3CDTF">2026-03-09T05:29:21Z</dcterms:modified>
  <dc:language>en-US</dc:language>
</cp:coreProperties>
</file>